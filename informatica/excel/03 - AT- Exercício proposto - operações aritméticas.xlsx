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rcício Operações Aritméticas" sheetId="1" r:id="rId4"/>
    <sheet state="visible" name="Gabarito" sheetId="2" r:id="rId5"/>
  </sheets>
  <definedNames/>
  <calcPr/>
  <extLst>
    <ext uri="GoogleSheetsCustomDataVersion2">
      <go:sheetsCustomData xmlns:go="http://customooxmlschemas.google.com/" r:id="rId6" roundtripDataChecksum="zvMHgPboeJDG36/pd825CKbK+qIHJARG/fHS9DW7fd8="/>
    </ext>
  </extLst>
</workbook>
</file>

<file path=xl/sharedStrings.xml><?xml version="1.0" encoding="utf-8"?>
<sst xmlns="http://schemas.openxmlformats.org/spreadsheetml/2006/main" count="58" uniqueCount="26">
  <si>
    <t>RESUMO DE GASTOS DOS VEÍCULOS</t>
  </si>
  <si>
    <t>Preço combustível</t>
  </si>
  <si>
    <t>MÊS</t>
  </si>
  <si>
    <t>ANO</t>
  </si>
  <si>
    <t>Maio</t>
  </si>
  <si>
    <t>PLACA</t>
  </si>
  <si>
    <t>KM RODADOS</t>
  </si>
  <si>
    <t>LITROS</t>
  </si>
  <si>
    <t>GASTO COM COMBUSTÍVEL</t>
  </si>
  <si>
    <t>GASTO COM PEÇAS</t>
  </si>
  <si>
    <t>GASTO COM SERVIÇOS</t>
  </si>
  <si>
    <t>GASTO
TOTAL</t>
  </si>
  <si>
    <t>GASTO POR KM</t>
  </si>
  <si>
    <t>RENDIMENTO DE COMBUSTÍVEL</t>
  </si>
  <si>
    <t>AAA-1111</t>
  </si>
  <si>
    <t>AAA-2222</t>
  </si>
  <si>
    <t>AAA-3333</t>
  </si>
  <si>
    <t>AAA-4444</t>
  </si>
  <si>
    <t>TOTAL</t>
  </si>
  <si>
    <t>COMPARATIVO COM A META DE GASTO/KM</t>
  </si>
  <si>
    <t>Meta de Gasto/Km</t>
  </si>
  <si>
    <t>VARIAÇÃO EM RELAÇÃO À META</t>
  </si>
  <si>
    <t>Janeiro</t>
  </si>
  <si>
    <t>Fevereiro</t>
  </si>
  <si>
    <t>Março</t>
  </si>
  <si>
    <t>Abril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</si>
</sst>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R$&quot;\ #,##0.000"/>
    <numFmt numFmtId="165" formatCode="_-&quot;R$&quot;* #,##0.00_-;\-&quot;R$&quot;* #,##0.00_-;_-&quot;R$&quot;* &quot;-&quot;??_-;_-@"/>
    <numFmt numFmtId="166" formatCode="_-&quot;R$&quot;\ * #,##0.00_-;\-&quot;R$&quot;\ * #,##0.00_-;_-&quot;R$&quot;\ * &quot;-&quot;??_-;_-@"/>
    <numFmt numFmtId="167" formatCode="&quot;R$&quot;\ #,##0.0000"/>
    <numFmt numFmtId="168" formatCode="0.000"/>
    <numFmt numFmtId="169" formatCode="_-&quot;R$&quot;* #,##0.0000_-;\-&quot;R$&quot;* #,##0.0000_-;_-&quot;R$&quot;* &quot;-&quot;??_-;_-@"/>
  </numFmts>
  <fonts count="10">
    <font>
      <sz val="11.0"/>
      <color theme="1"/>
      <name val="Calibri"/>
      <scheme val="minor"/>
    </font>
    <font>
      <sz val="11.0"/>
      <color theme="1"/>
      <name val="Calibri"/>
    </font>
    <font>
      <sz val="15.0"/>
      <color rgb="FF595959"/>
      <name val="Arial Black"/>
    </font>
    <font/>
    <font>
      <b/>
      <sz val="11.0"/>
      <color theme="1"/>
      <name val="Calibri"/>
    </font>
    <font>
      <b/>
      <sz val="11.0"/>
      <color rgb="FFC55A11"/>
      <name val="Calibri"/>
    </font>
    <font>
      <b/>
      <sz val="10.0"/>
      <color theme="0"/>
      <name val="Calibri"/>
    </font>
    <font>
      <sz val="10.0"/>
      <color theme="1"/>
      <name val="Calibri"/>
    </font>
    <font>
      <sz val="11.0"/>
      <color rgb="FF595959"/>
      <name val="Arial Black"/>
    </font>
    <font>
      <b/>
      <sz val="10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</fills>
  <borders count="11">
    <border/>
    <border>
      <left style="thin">
        <color rgb="FF3A3838"/>
      </left>
      <top style="thin">
        <color rgb="FF3A3838"/>
      </top>
    </border>
    <border>
      <top style="thin">
        <color rgb="FF3A3838"/>
      </top>
    </border>
    <border>
      <left style="thin">
        <color rgb="FF3A3838"/>
      </left>
      <right style="thin">
        <color rgb="FF3A3838"/>
      </right>
      <top style="thin">
        <color rgb="FF3A3838"/>
      </top>
      <bottom style="thin">
        <color rgb="FF3A3838"/>
      </bottom>
    </border>
    <border>
      <left style="thin">
        <color rgb="FF3A3838"/>
      </left>
      <bottom style="thin">
        <color rgb="FF3A3838"/>
      </bottom>
    </border>
    <border>
      <bottom style="thin">
        <color rgb="FF3A3838"/>
      </bottom>
    </border>
    <border>
      <left style="thin">
        <color rgb="FF3A3838"/>
      </left>
      <top style="thin">
        <color rgb="FF3A3838"/>
      </top>
      <bottom style="thin">
        <color rgb="FF3A3838"/>
      </bottom>
    </border>
    <border>
      <top style="thin">
        <color rgb="FF3A3838"/>
      </top>
      <bottom style="thin">
        <color rgb="FF3A3838"/>
      </bottom>
    </border>
    <border>
      <right style="thin">
        <color rgb="FF3A3838"/>
      </right>
      <top style="thin">
        <color rgb="FF3A3838"/>
      </top>
      <bottom style="thin">
        <color rgb="FF3A3838"/>
      </bottom>
    </border>
    <border>
      <right style="thin">
        <color rgb="FF3A3838"/>
      </right>
      <top style="thin">
        <color rgb="FF3A3838"/>
      </top>
    </border>
    <border>
      <right style="thin">
        <color rgb="FF3A3838"/>
      </right>
      <bottom style="thin">
        <color rgb="FF3A3838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4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vertical="center"/>
    </xf>
    <xf borderId="4" fillId="0" fontId="3" numFmtId="0" xfId="0" applyBorder="1" applyFont="1"/>
    <xf borderId="5" fillId="0" fontId="3" numFmtId="0" xfId="0" applyBorder="1" applyFont="1"/>
    <xf borderId="3" fillId="0" fontId="5" numFmtId="164" xfId="0" applyAlignment="1" applyBorder="1" applyFont="1" applyNumberFormat="1">
      <alignment horizontal="center" vertical="center"/>
    </xf>
    <xf borderId="3" fillId="0" fontId="5" numFmtId="0" xfId="0" applyAlignment="1" applyBorder="1" applyFont="1">
      <alignment horizontal="center" vertical="center"/>
    </xf>
    <xf borderId="3" fillId="2" fontId="6" numFmtId="0" xfId="0" applyAlignment="1" applyBorder="1" applyFill="1" applyFont="1">
      <alignment horizontal="left" shrinkToFit="0" vertical="center" wrapText="1"/>
    </xf>
    <xf borderId="3" fillId="2" fontId="6" numFmtId="0" xfId="0" applyAlignment="1" applyBorder="1" applyFont="1">
      <alignment horizontal="right" shrinkToFit="0" vertical="center" wrapText="1"/>
    </xf>
    <xf borderId="0" fillId="0" fontId="7" numFmtId="0" xfId="0" applyAlignment="1" applyFont="1">
      <alignment vertical="center"/>
    </xf>
    <xf borderId="3" fillId="0" fontId="1" numFmtId="0" xfId="0" applyAlignment="1" applyBorder="1" applyFont="1">
      <alignment vertical="center"/>
    </xf>
    <xf borderId="3" fillId="0" fontId="1" numFmtId="3" xfId="0" applyAlignment="1" applyBorder="1" applyFont="1" applyNumberFormat="1">
      <alignment vertical="center"/>
    </xf>
    <xf borderId="3" fillId="0" fontId="1" numFmtId="4" xfId="0" applyAlignment="1" applyBorder="1" applyFont="1" applyNumberFormat="1">
      <alignment vertical="center"/>
    </xf>
    <xf borderId="3" fillId="0" fontId="1" numFmtId="165" xfId="0" applyAlignment="1" applyBorder="1" applyFont="1" applyNumberFormat="1">
      <alignment vertical="center"/>
    </xf>
    <xf borderId="3" fillId="0" fontId="4" numFmtId="0" xfId="0" applyAlignment="1" applyBorder="1" applyFont="1">
      <alignment horizontal="left" vertical="center"/>
    </xf>
    <xf borderId="3" fillId="0" fontId="4" numFmtId="3" xfId="0" applyAlignment="1" applyBorder="1" applyFont="1" applyNumberFormat="1">
      <alignment vertical="center"/>
    </xf>
    <xf borderId="3" fillId="0" fontId="4" numFmtId="2" xfId="0" applyAlignment="1" applyBorder="1" applyFont="1" applyNumberFormat="1">
      <alignment vertical="center"/>
    </xf>
    <xf borderId="3" fillId="0" fontId="4" numFmtId="166" xfId="0" applyAlignment="1" applyBorder="1" applyFont="1" applyNumberFormat="1">
      <alignment vertical="center"/>
    </xf>
    <xf borderId="6" fillId="0" fontId="8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8" fillId="0" fontId="3" numFmtId="0" xfId="0" applyBorder="1" applyFont="1"/>
    <xf borderId="6" fillId="0" fontId="1" numFmtId="0" xfId="0" applyAlignment="1" applyBorder="1" applyFont="1">
      <alignment horizontal="left" vertical="center"/>
    </xf>
    <xf borderId="3" fillId="0" fontId="4" numFmtId="167" xfId="0" applyAlignment="1" applyBorder="1" applyFont="1" applyNumberFormat="1">
      <alignment horizontal="center" vertical="center"/>
    </xf>
    <xf borderId="0" fillId="0" fontId="9" numFmtId="0" xfId="0" applyAlignment="1" applyFont="1">
      <alignment horizontal="right" shrinkToFit="0" vertical="center" wrapText="1"/>
    </xf>
    <xf borderId="0" fillId="0" fontId="1" numFmtId="168" xfId="0" applyAlignment="1" applyFont="1" applyNumberFormat="1">
      <alignment vertical="center"/>
    </xf>
    <xf borderId="3" fillId="0" fontId="1" numFmtId="169" xfId="0" applyAlignment="1" applyBorder="1" applyFont="1" applyNumberFormat="1">
      <alignment horizontal="right" vertical="center"/>
    </xf>
    <xf borderId="3" fillId="0" fontId="1" numFmtId="10" xfId="0" applyAlignment="1" applyBorder="1" applyFont="1" applyNumberFormat="1">
      <alignment horizontal="right" vertical="center"/>
    </xf>
    <xf borderId="9" fillId="0" fontId="3" numFmtId="0" xfId="0" applyBorder="1" applyFont="1"/>
    <xf borderId="10" fillId="0" fontId="3" numFmtId="0" xfId="0" applyBorder="1" applyFont="1"/>
    <xf borderId="3" fillId="0" fontId="4" numFmtId="0" xfId="0" applyAlignment="1" applyBorder="1" applyFont="1">
      <alignment vertical="center"/>
    </xf>
    <xf borderId="3" fillId="0" fontId="4" numFmtId="165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12.71"/>
    <col customWidth="1" min="3" max="10" width="15.71"/>
    <col customWidth="1" min="11" max="11" width="8.29"/>
    <col customWidth="1" hidden="1" min="12" max="13" width="11.71"/>
    <col customWidth="1" min="14" max="26" width="8.71"/>
  </cols>
  <sheetData>
    <row r="1" ht="24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3"/>
      <c r="D2" s="3"/>
      <c r="E2" s="3"/>
      <c r="F2" s="3"/>
      <c r="G2" s="3"/>
      <c r="H2" s="4" t="s">
        <v>1</v>
      </c>
      <c r="I2" s="5" t="s">
        <v>2</v>
      </c>
      <c r="J2" s="5" t="s">
        <v>3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6"/>
      <c r="C3" s="7"/>
      <c r="D3" s="7"/>
      <c r="E3" s="7"/>
      <c r="F3" s="7"/>
      <c r="G3" s="7"/>
      <c r="H3" s="8">
        <v>4.899</v>
      </c>
      <c r="I3" s="9" t="s">
        <v>4</v>
      </c>
      <c r="J3" s="9">
        <v>2018.0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0" t="s">
        <v>5</v>
      </c>
      <c r="C4" s="11" t="s">
        <v>6</v>
      </c>
      <c r="D4" s="11" t="s">
        <v>7</v>
      </c>
      <c r="E4" s="11" t="s">
        <v>8</v>
      </c>
      <c r="F4" s="11" t="s">
        <v>9</v>
      </c>
      <c r="G4" s="11" t="s">
        <v>10</v>
      </c>
      <c r="H4" s="11" t="s">
        <v>11</v>
      </c>
      <c r="I4" s="11" t="s">
        <v>12</v>
      </c>
      <c r="J4" s="11" t="s">
        <v>13</v>
      </c>
      <c r="K4" s="1"/>
      <c r="L4" s="12"/>
      <c r="M4" s="1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3" t="s">
        <v>14</v>
      </c>
      <c r="C5" s="14">
        <v>1350.0</v>
      </c>
      <c r="D5" s="15">
        <v>142.2</v>
      </c>
      <c r="E5" s="16"/>
      <c r="F5" s="16">
        <v>500.0</v>
      </c>
      <c r="G5" s="16">
        <v>350.0</v>
      </c>
      <c r="H5" s="16"/>
      <c r="I5" s="16"/>
      <c r="J5" s="15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3" t="s">
        <v>15</v>
      </c>
      <c r="C6" s="14">
        <v>1950.0</v>
      </c>
      <c r="D6" s="15">
        <v>224.2</v>
      </c>
      <c r="E6" s="16"/>
      <c r="F6" s="16">
        <v>250.0</v>
      </c>
      <c r="G6" s="16">
        <v>35.0</v>
      </c>
      <c r="H6" s="16"/>
      <c r="I6" s="16"/>
      <c r="J6" s="15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3" t="s">
        <v>16</v>
      </c>
      <c r="C7" s="14">
        <v>2520.0</v>
      </c>
      <c r="D7" s="15">
        <v>247.0</v>
      </c>
      <c r="E7" s="16"/>
      <c r="F7" s="16">
        <v>180.0</v>
      </c>
      <c r="G7" s="16">
        <v>56.0</v>
      </c>
      <c r="H7" s="16"/>
      <c r="I7" s="16"/>
      <c r="J7" s="15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3" t="s">
        <v>17</v>
      </c>
      <c r="C8" s="14">
        <v>1410.0</v>
      </c>
      <c r="D8" s="15">
        <v>117.5</v>
      </c>
      <c r="E8" s="16"/>
      <c r="F8" s="16">
        <v>95.0</v>
      </c>
      <c r="G8" s="16">
        <v>0.0</v>
      </c>
      <c r="H8" s="16"/>
      <c r="I8" s="16"/>
      <c r="J8" s="15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1"/>
      <c r="B9" s="17" t="s">
        <v>18</v>
      </c>
      <c r="C9" s="18"/>
      <c r="D9" s="19"/>
      <c r="E9" s="20"/>
      <c r="F9" s="20"/>
      <c r="G9" s="20"/>
      <c r="H9" s="20"/>
      <c r="I9" s="20"/>
      <c r="J9" s="18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8.25" customHeight="1">
      <c r="A12" s="1"/>
      <c r="B12" s="21" t="s">
        <v>19</v>
      </c>
      <c r="C12" s="22"/>
      <c r="D12" s="2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4" t="s">
        <v>20</v>
      </c>
      <c r="C13" s="23"/>
      <c r="D13" s="25">
        <v>0.58</v>
      </c>
      <c r="E13" s="26"/>
      <c r="F13" s="1"/>
      <c r="G13" s="26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0" t="s">
        <v>2</v>
      </c>
      <c r="C14" s="11" t="s">
        <v>12</v>
      </c>
      <c r="D14" s="11" t="s">
        <v>21</v>
      </c>
      <c r="E14" s="26"/>
      <c r="F14" s="1"/>
      <c r="G14" s="27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3" t="s">
        <v>22</v>
      </c>
      <c r="C15" s="28">
        <v>0.596</v>
      </c>
      <c r="D15" s="29">
        <f t="shared" ref="D15:D19" si="1">(C15/$D$13)-1</f>
        <v>0.0275862069</v>
      </c>
      <c r="E15" s="26"/>
      <c r="F15" s="1"/>
      <c r="G15" s="2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3" t="s">
        <v>23</v>
      </c>
      <c r="C16" s="28">
        <v>0.582</v>
      </c>
      <c r="D16" s="29">
        <f t="shared" si="1"/>
        <v>0.003448275862</v>
      </c>
      <c r="E16" s="26"/>
      <c r="F16" s="1"/>
      <c r="G16" s="27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3" t="s">
        <v>24</v>
      </c>
      <c r="C17" s="28">
        <v>0.572</v>
      </c>
      <c r="D17" s="29">
        <f t="shared" si="1"/>
        <v>-0.01379310345</v>
      </c>
      <c r="E17" s="26"/>
      <c r="F17" s="1"/>
      <c r="G17" s="2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3" t="s">
        <v>25</v>
      </c>
      <c r="C18" s="28">
        <v>0.612</v>
      </c>
      <c r="D18" s="29">
        <f t="shared" si="1"/>
        <v>0.05517241379</v>
      </c>
      <c r="E18" s="26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3" t="s">
        <v>4</v>
      </c>
      <c r="C19" s="28">
        <v>0.6455</v>
      </c>
      <c r="D19" s="29">
        <f t="shared" si="1"/>
        <v>0.1129310345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B2:G3"/>
    <mergeCell ref="B12:D12"/>
    <mergeCell ref="B13:C13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12.71"/>
    <col customWidth="1" min="3" max="10" width="15.71"/>
    <col customWidth="1" min="11" max="11" width="9.0"/>
    <col customWidth="1" hidden="1" min="12" max="13" width="11.71"/>
    <col customWidth="1" min="14" max="26" width="8.71"/>
  </cols>
  <sheetData>
    <row r="1" ht="24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3"/>
      <c r="D2" s="3"/>
      <c r="E2" s="3"/>
      <c r="F2" s="3"/>
      <c r="G2" s="30"/>
      <c r="H2" s="4" t="s">
        <v>1</v>
      </c>
      <c r="I2" s="5" t="s">
        <v>2</v>
      </c>
      <c r="J2" s="5" t="s">
        <v>3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6"/>
      <c r="C3" s="7"/>
      <c r="D3" s="7"/>
      <c r="E3" s="7"/>
      <c r="F3" s="7"/>
      <c r="G3" s="31"/>
      <c r="H3" s="8">
        <v>4.899</v>
      </c>
      <c r="I3" s="9" t="s">
        <v>4</v>
      </c>
      <c r="J3" s="9">
        <v>2018.0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0" t="s">
        <v>5</v>
      </c>
      <c r="C4" s="11" t="s">
        <v>6</v>
      </c>
      <c r="D4" s="11" t="s">
        <v>7</v>
      </c>
      <c r="E4" s="11" t="s">
        <v>8</v>
      </c>
      <c r="F4" s="11" t="s">
        <v>9</v>
      </c>
      <c r="G4" s="11" t="s">
        <v>10</v>
      </c>
      <c r="H4" s="11" t="s">
        <v>11</v>
      </c>
      <c r="I4" s="11" t="s">
        <v>12</v>
      </c>
      <c r="J4" s="11" t="s">
        <v>13</v>
      </c>
      <c r="K4" s="1"/>
      <c r="L4" s="12"/>
      <c r="M4" s="1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3" t="s">
        <v>14</v>
      </c>
      <c r="C5" s="14">
        <v>1350.0</v>
      </c>
      <c r="D5" s="15">
        <v>142.2</v>
      </c>
      <c r="E5" s="16">
        <f t="shared" ref="E5:E8" si="1">D5*$H$3</f>
        <v>696.6378</v>
      </c>
      <c r="F5" s="16">
        <v>500.0</v>
      </c>
      <c r="G5" s="16">
        <v>350.0</v>
      </c>
      <c r="H5" s="16">
        <f t="shared" ref="H5:H8" si="2">G5+F5+E5</f>
        <v>1546.6378</v>
      </c>
      <c r="I5" s="16">
        <f t="shared" ref="I5:I8" si="3">H5/C5</f>
        <v>1.14565763</v>
      </c>
      <c r="J5" s="15">
        <f t="shared" ref="J5:J8" si="4">C5/D5</f>
        <v>9.493670886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3" t="s">
        <v>15</v>
      </c>
      <c r="C6" s="14">
        <v>1950.0</v>
      </c>
      <c r="D6" s="15">
        <v>224.2</v>
      </c>
      <c r="E6" s="16">
        <f t="shared" si="1"/>
        <v>1098.3558</v>
      </c>
      <c r="F6" s="16">
        <v>250.0</v>
      </c>
      <c r="G6" s="16">
        <v>35.0</v>
      </c>
      <c r="H6" s="16">
        <f t="shared" si="2"/>
        <v>1383.3558</v>
      </c>
      <c r="I6" s="16">
        <f t="shared" si="3"/>
        <v>0.7094132308</v>
      </c>
      <c r="J6" s="15">
        <f t="shared" si="4"/>
        <v>8.697591436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3" t="s">
        <v>16</v>
      </c>
      <c r="C7" s="14">
        <v>2520.0</v>
      </c>
      <c r="D7" s="15">
        <v>247.0</v>
      </c>
      <c r="E7" s="16">
        <f t="shared" si="1"/>
        <v>1210.053</v>
      </c>
      <c r="F7" s="16">
        <v>180.0</v>
      </c>
      <c r="G7" s="16">
        <v>56.0</v>
      </c>
      <c r="H7" s="16">
        <f t="shared" si="2"/>
        <v>1446.053</v>
      </c>
      <c r="I7" s="16">
        <f t="shared" si="3"/>
        <v>0.5738305556</v>
      </c>
      <c r="J7" s="15">
        <f t="shared" si="4"/>
        <v>10.20242915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3" t="s">
        <v>17</v>
      </c>
      <c r="C8" s="14">
        <v>1410.0</v>
      </c>
      <c r="D8" s="15">
        <v>117.5</v>
      </c>
      <c r="E8" s="16">
        <f t="shared" si="1"/>
        <v>575.6325</v>
      </c>
      <c r="F8" s="16">
        <v>95.0</v>
      </c>
      <c r="G8" s="16">
        <v>0.0</v>
      </c>
      <c r="H8" s="16">
        <f t="shared" si="2"/>
        <v>670.6325</v>
      </c>
      <c r="I8" s="16">
        <f t="shared" si="3"/>
        <v>0.4756258865</v>
      </c>
      <c r="J8" s="15">
        <f t="shared" si="4"/>
        <v>12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1"/>
      <c r="B9" s="32" t="s">
        <v>18</v>
      </c>
      <c r="C9" s="18">
        <f>SUM(C5:C8)</f>
        <v>7230</v>
      </c>
      <c r="D9" s="19">
        <f>D5+D7+D6+D8</f>
        <v>730.9</v>
      </c>
      <c r="E9" s="33">
        <f t="shared" ref="E9:H9" si="5">SUM(E5:E8)</f>
        <v>3580.6791</v>
      </c>
      <c r="F9" s="33">
        <f t="shared" si="5"/>
        <v>1025</v>
      </c>
      <c r="G9" s="33">
        <f t="shared" si="5"/>
        <v>441</v>
      </c>
      <c r="H9" s="33">
        <f t="shared" si="5"/>
        <v>5046.6791</v>
      </c>
      <c r="I9" s="20">
        <f t="shared" ref="I9:J9" si="6">I5+I6+I7+I8</f>
        <v>2.904527302</v>
      </c>
      <c r="J9" s="18">
        <f t="shared" si="6"/>
        <v>40.39369147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8.25" customHeight="1">
      <c r="A12" s="1"/>
      <c r="B12" s="21" t="s">
        <v>19</v>
      </c>
      <c r="C12" s="22"/>
      <c r="D12" s="2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4" t="s">
        <v>20</v>
      </c>
      <c r="C13" s="23"/>
      <c r="D13" s="25">
        <v>0.58</v>
      </c>
      <c r="E13" s="26"/>
      <c r="F13" s="1"/>
      <c r="G13" s="26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0" t="s">
        <v>2</v>
      </c>
      <c r="C14" s="11" t="s">
        <v>12</v>
      </c>
      <c r="D14" s="11" t="s">
        <v>21</v>
      </c>
      <c r="E14" s="26"/>
      <c r="F14" s="1"/>
      <c r="G14" s="27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3" t="s">
        <v>22</v>
      </c>
      <c r="C15" s="28">
        <v>0.596</v>
      </c>
      <c r="D15" s="29">
        <f t="shared" ref="D15:D19" si="7">(C15/$D$13)-1</f>
        <v>0.0275862069</v>
      </c>
      <c r="E15" s="26"/>
      <c r="F15" s="1"/>
      <c r="G15" s="2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3" t="s">
        <v>23</v>
      </c>
      <c r="C16" s="28">
        <v>0.582</v>
      </c>
      <c r="D16" s="29">
        <f t="shared" si="7"/>
        <v>0.003448275862</v>
      </c>
      <c r="E16" s="26"/>
      <c r="F16" s="1"/>
      <c r="G16" s="27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3" t="s">
        <v>24</v>
      </c>
      <c r="C17" s="28">
        <v>0.572</v>
      </c>
      <c r="D17" s="29">
        <f t="shared" si="7"/>
        <v>-0.01379310345</v>
      </c>
      <c r="E17" s="26"/>
      <c r="F17" s="1"/>
      <c r="G17" s="2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3" t="s">
        <v>25</v>
      </c>
      <c r="C18" s="28">
        <v>0.612</v>
      </c>
      <c r="D18" s="29">
        <f t="shared" si="7"/>
        <v>0.05517241379</v>
      </c>
      <c r="E18" s="26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3" t="s">
        <v>4</v>
      </c>
      <c r="C19" s="28">
        <v>0.6455</v>
      </c>
      <c r="D19" s="29">
        <f t="shared" si="7"/>
        <v>0.1129310345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B2:G3"/>
    <mergeCell ref="B12:D12"/>
    <mergeCell ref="B13:C13"/>
  </mergeCells>
  <printOptions/>
  <pageMargins bottom="0.787401575" footer="0.0" header="0.0" left="0.511811024" right="0.511811024" top="0.7874015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2018-10-18T17:28:39Z</dcterms:created>
  <dc:creator>Bruno Arantes</dc:creator>
</cp:coreProperties>
</file>
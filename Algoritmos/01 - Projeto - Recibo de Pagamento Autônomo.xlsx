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A-Set2018" sheetId="1" r:id="rId4"/>
    <sheet state="visible" name="RPA-Out2018" sheetId="2" r:id="rId5"/>
    <sheet state="visible" name="RPA-Ano2018" sheetId="3" r:id="rId6"/>
  </sheets>
  <definedNames/>
  <calcPr/>
  <extLst>
    <ext uri="GoogleSheetsCustomDataVersion2">
      <go:sheetsCustomData xmlns:go="http://customooxmlschemas.google.com/" r:id="rId7" roundtripDataChecksum="SjYwbIVyFcTL/0aiQh64tFs62YtfR1QARK4Oyv1gps4="/>
    </ext>
  </extLst>
</workbook>
</file>

<file path=xl/sharedStrings.xml><?xml version="1.0" encoding="utf-8"?>
<sst xmlns="http://schemas.openxmlformats.org/spreadsheetml/2006/main" count="49" uniqueCount="30">
  <si>
    <t>RELATÓRIO DE PAGAMENTO DE RPA</t>
  </si>
  <si>
    <t>MÊS</t>
  </si>
  <si>
    <t>ANO</t>
  </si>
  <si>
    <t>Setembro</t>
  </si>
  <si>
    <t>DATA</t>
  </si>
  <si>
    <t>NOME</t>
  </si>
  <si>
    <t>CPF</t>
  </si>
  <si>
    <t>VALOR DO
SERVIÇO</t>
  </si>
  <si>
    <t>INSS
DESCONTADO</t>
  </si>
  <si>
    <t>INSS DA 
EMPRESA</t>
  </si>
  <si>
    <t>VALOR LÍQUIDO
A PAGAR</t>
  </si>
  <si>
    <t>Albert Einstein</t>
  </si>
  <si>
    <t>Thomas Edison</t>
  </si>
  <si>
    <t>George Lucas</t>
  </si>
  <si>
    <t>TOTAL DO PERÍODO</t>
  </si>
  <si>
    <t>Tabela de Alíquotas do INSS</t>
  </si>
  <si>
    <t>Descontado do autônomo</t>
  </si>
  <si>
    <t>Contribuição da empresa</t>
  </si>
  <si>
    <t>Outubro</t>
  </si>
  <si>
    <t>Galileu Galilei</t>
  </si>
  <si>
    <t>Francis Bacon</t>
  </si>
  <si>
    <t>17/10/2018</t>
  </si>
  <si>
    <t>Isaac Newton</t>
  </si>
  <si>
    <t>RESUMO ANUAL DO PAGAMENTO DE RPA</t>
  </si>
  <si>
    <t>VALOR DOS
SERVIÇOS</t>
  </si>
  <si>
    <t>INSS DESCONTADO</t>
  </si>
  <si>
    <t>INSS DA EMPRESA</t>
  </si>
  <si>
    <t>VALOR LÍQUIDO
PAGO</t>
  </si>
  <si>
    <t>...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</si>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</sst>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&quot;.&quot;000&quot;.&quot;000\-00"/>
  </numFmts>
  <fonts count="8">
    <font>
      <sz val="11.0"/>
      <color theme="1"/>
      <name val="Aptos Narrow"/>
      <scheme val="minor"/>
    </font>
    <font>
      <sz val="10.0"/>
      <color theme="1"/>
      <name val="Arial"/>
    </font>
    <font>
      <sz val="15.0"/>
      <color rgb="FF275317"/>
      <name val="Arial Black"/>
    </font>
    <font/>
    <font>
      <b/>
      <sz val="11.0"/>
      <color theme="1"/>
      <name val="Arial"/>
    </font>
    <font>
      <b/>
      <sz val="12.0"/>
      <color rgb="FF7E360E"/>
      <name val="Arial"/>
    </font>
    <font>
      <b/>
      <sz val="9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4">
    <border/>
    <border>
      <left style="thin">
        <color rgb="FF215E99"/>
      </left>
      <top style="thin">
        <color rgb="FF215E99"/>
      </top>
    </border>
    <border>
      <top style="thin">
        <color rgb="FF215E99"/>
      </top>
    </border>
    <border>
      <right style="thin">
        <color rgb="FF215E99"/>
      </right>
      <top style="thin">
        <color rgb="FF215E99"/>
      </top>
    </border>
    <border>
      <left style="thin">
        <color rgb="FF215E99"/>
      </left>
      <right/>
      <top style="thin">
        <color rgb="FF215E99"/>
      </top>
      <bottom/>
    </border>
    <border>
      <left style="thin">
        <color rgb="FF215E99"/>
      </left>
      <right style="thin">
        <color rgb="FF215E99"/>
      </right>
      <top style="thin">
        <color rgb="FF215E99"/>
      </top>
      <bottom/>
    </border>
    <border>
      <left style="thin">
        <color rgb="FF215E99"/>
      </left>
      <bottom style="thin">
        <color rgb="FF215E99"/>
      </bottom>
    </border>
    <border>
      <bottom style="thin">
        <color rgb="FF215E99"/>
      </bottom>
    </border>
    <border>
      <right style="thin">
        <color rgb="FF215E99"/>
      </right>
      <bottom style="thin">
        <color rgb="FF215E99"/>
      </bottom>
    </border>
    <border>
      <left style="thin">
        <color rgb="FF215E99"/>
      </left>
      <right style="thin">
        <color rgb="FF215E99"/>
      </right>
      <top/>
      <bottom style="thin">
        <color rgb="FF215E99"/>
      </bottom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</border>
    <border>
      <left style="thin">
        <color rgb="FF215E99"/>
      </left>
      <top style="thin">
        <color rgb="FF215E99"/>
      </top>
      <bottom style="thin">
        <color rgb="FF215E99"/>
      </bottom>
    </border>
    <border>
      <top style="thin">
        <color rgb="FF215E99"/>
      </top>
      <bottom style="thin">
        <color rgb="FF215E99"/>
      </bottom>
    </border>
    <border>
      <right style="thin">
        <color rgb="FF215E99"/>
      </right>
      <top style="thin">
        <color rgb="FF215E99"/>
      </top>
      <bottom style="thin">
        <color rgb="FF215E9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5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left" vertical="center"/>
    </xf>
    <xf borderId="10" fillId="2" fontId="6" numFmtId="0" xfId="0" applyAlignment="1" applyBorder="1" applyFont="1">
      <alignment horizontal="right" shrinkToFit="0" vertical="center" wrapText="1"/>
    </xf>
    <xf borderId="10" fillId="0" fontId="1" numFmtId="14" xfId="0" applyAlignment="1" applyBorder="1" applyFont="1" applyNumberFormat="1">
      <alignment horizontal="center" vertical="center"/>
    </xf>
    <xf borderId="10" fillId="0" fontId="1" numFmtId="49" xfId="0" applyAlignment="1" applyBorder="1" applyFont="1" applyNumberFormat="1">
      <alignment horizontal="left" vertical="center"/>
    </xf>
    <xf borderId="10" fillId="0" fontId="1" numFmtId="164" xfId="0" applyAlignment="1" applyBorder="1" applyFont="1" applyNumberFormat="1">
      <alignment horizontal="left" vertical="center"/>
    </xf>
    <xf borderId="10" fillId="0" fontId="1" numFmtId="4" xfId="0" applyAlignment="1" applyBorder="1" applyFont="1" applyNumberFormat="1">
      <alignment horizontal="right" vertical="center"/>
    </xf>
    <xf borderId="11" fillId="0" fontId="7" numFmtId="0" xfId="0" applyAlignment="1" applyBorder="1" applyFont="1">
      <alignment horizontal="right" vertical="center"/>
    </xf>
    <xf borderId="12" fillId="0" fontId="3" numFmtId="0" xfId="0" applyBorder="1" applyFont="1"/>
    <xf borderId="13" fillId="0" fontId="3" numFmtId="0" xfId="0" applyBorder="1" applyFont="1"/>
    <xf borderId="10" fillId="0" fontId="7" numFmtId="4" xfId="0" applyAlignment="1" applyBorder="1" applyFont="1" applyNumberFormat="1">
      <alignment horizontal="right" vertical="center"/>
    </xf>
    <xf borderId="11" fillId="0" fontId="7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10" fillId="0" fontId="1" numFmtId="9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0" fillId="2" fontId="7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right" shrinkToFit="0" vertical="center" wrapText="1"/>
    </xf>
    <xf borderId="10" fillId="0" fontId="7" numFmtId="0" xfId="0" applyAlignment="1" applyBorder="1" applyFont="1">
      <alignment horizontal="right" vertical="center"/>
    </xf>
    <xf borderId="10" fillId="0" fontId="1" numFmtId="0" xfId="0" applyAlignment="1" applyBorder="1" applyFont="1">
      <alignment horizontal="center" vertical="center"/>
    </xf>
    <xf borderId="10" fillId="0" fontId="1" numFmtId="4" xfId="0" applyAlignment="1" applyBorder="1" applyFont="1" applyNumberFormat="1">
      <alignment vertical="center"/>
    </xf>
    <xf borderId="10" fillId="0" fontId="7" numFmtId="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11.88"/>
    <col customWidth="1" min="3" max="3" width="20.63"/>
    <col customWidth="1" min="4" max="4" width="14.88"/>
    <col customWidth="1" min="5" max="5" width="14.38"/>
    <col customWidth="1" min="6" max="6" width="14.0"/>
    <col customWidth="1" min="7" max="7" width="13.13"/>
    <col customWidth="1" min="8" max="8" width="14.38"/>
    <col customWidth="1" min="9" max="26" width="9.13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2" t="s">
        <v>0</v>
      </c>
      <c r="C2" s="3"/>
      <c r="D2" s="3"/>
      <c r="E2" s="3"/>
      <c r="F2" s="4"/>
      <c r="G2" s="5" t="s">
        <v>1</v>
      </c>
      <c r="H2" s="6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1"/>
      <c r="B3" s="7"/>
      <c r="C3" s="8"/>
      <c r="D3" s="8"/>
      <c r="E3" s="8"/>
      <c r="F3" s="9"/>
      <c r="G3" s="10" t="s">
        <v>3</v>
      </c>
      <c r="H3" s="10">
        <v>2018.0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1"/>
      <c r="B4" s="11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14">
        <v>43344.0</v>
      </c>
      <c r="C5" s="15" t="s">
        <v>11</v>
      </c>
      <c r="D5" s="16">
        <v>1.2357689E10</v>
      </c>
      <c r="E5" s="17">
        <v>1200.0</v>
      </c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14">
        <v>43344.0</v>
      </c>
      <c r="C6" s="15" t="s">
        <v>12</v>
      </c>
      <c r="D6" s="16">
        <v>8.9012346956E10</v>
      </c>
      <c r="E6" s="17">
        <v>955.0</v>
      </c>
      <c r="F6" s="17"/>
      <c r="G6" s="17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14">
        <v>43348.0</v>
      </c>
      <c r="C7" s="15" t="s">
        <v>13</v>
      </c>
      <c r="D7" s="16">
        <v>3.4567812389E10</v>
      </c>
      <c r="E7" s="17">
        <v>345.0</v>
      </c>
      <c r="F7" s="17"/>
      <c r="G7" s="17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14"/>
      <c r="C8" s="15"/>
      <c r="D8" s="16"/>
      <c r="E8" s="17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4"/>
      <c r="C9" s="15"/>
      <c r="D9" s="16"/>
      <c r="E9" s="17"/>
      <c r="F9" s="17"/>
      <c r="G9" s="17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18" t="s">
        <v>14</v>
      </c>
      <c r="C10" s="19"/>
      <c r="D10" s="20"/>
      <c r="E10" s="21"/>
      <c r="F10" s="21"/>
      <c r="G10" s="21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22" t="s">
        <v>15</v>
      </c>
      <c r="C12" s="19"/>
      <c r="D12" s="2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3" t="s">
        <v>16</v>
      </c>
      <c r="C13" s="23"/>
      <c r="D13" s="24">
        <v>0.11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23" t="s">
        <v>17</v>
      </c>
      <c r="C14" s="23"/>
      <c r="D14" s="24">
        <v>0.2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F3"/>
    <mergeCell ref="B10:D10"/>
    <mergeCell ref="B12:D1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11.88"/>
    <col customWidth="1" min="3" max="3" width="20.63"/>
    <col customWidth="1" min="4" max="4" width="14.88"/>
    <col customWidth="1" min="5" max="5" width="14.38"/>
    <col customWidth="1" min="6" max="6" width="14.0"/>
    <col customWidth="1" min="7" max="7" width="13.13"/>
    <col customWidth="1" min="8" max="8" width="14.38"/>
    <col customWidth="1" min="9" max="26" width="9.13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2" t="s">
        <v>0</v>
      </c>
      <c r="C2" s="3"/>
      <c r="D2" s="3"/>
      <c r="E2" s="3"/>
      <c r="F2" s="4"/>
      <c r="G2" s="5" t="s">
        <v>1</v>
      </c>
      <c r="H2" s="6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1"/>
      <c r="B3" s="7"/>
      <c r="C3" s="8"/>
      <c r="D3" s="8"/>
      <c r="E3" s="8"/>
      <c r="F3" s="9"/>
      <c r="G3" s="10" t="s">
        <v>18</v>
      </c>
      <c r="H3" s="10">
        <v>2018.0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1"/>
      <c r="B4" s="11" t="s">
        <v>4</v>
      </c>
      <c r="C4" s="12" t="s">
        <v>5</v>
      </c>
      <c r="D4" s="12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14">
        <v>43230.0</v>
      </c>
      <c r="C5" s="15" t="s">
        <v>19</v>
      </c>
      <c r="D5" s="16">
        <v>9.876543212E9</v>
      </c>
      <c r="E5" s="17">
        <v>800.0</v>
      </c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14">
        <v>43414.0</v>
      </c>
      <c r="C6" s="15" t="s">
        <v>20</v>
      </c>
      <c r="D6" s="16">
        <v>1.3579134689E10</v>
      </c>
      <c r="E6" s="17">
        <v>250.0</v>
      </c>
      <c r="F6" s="17"/>
      <c r="G6" s="17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14" t="s">
        <v>21</v>
      </c>
      <c r="C7" s="15" t="s">
        <v>22</v>
      </c>
      <c r="D7" s="16">
        <v>3.4215675623E10</v>
      </c>
      <c r="E7" s="17">
        <v>1345.0</v>
      </c>
      <c r="F7" s="17"/>
      <c r="G7" s="17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14"/>
      <c r="C8" s="15"/>
      <c r="D8" s="16"/>
      <c r="E8" s="17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4"/>
      <c r="C9" s="15"/>
      <c r="D9" s="16"/>
      <c r="E9" s="17"/>
      <c r="F9" s="17"/>
      <c r="G9" s="17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18" t="s">
        <v>14</v>
      </c>
      <c r="C10" s="19"/>
      <c r="D10" s="20"/>
      <c r="E10" s="21"/>
      <c r="F10" s="21"/>
      <c r="G10" s="21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22" t="s">
        <v>15</v>
      </c>
      <c r="C12" s="19"/>
      <c r="D12" s="2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3" t="s">
        <v>16</v>
      </c>
      <c r="C13" s="23"/>
      <c r="D13" s="24">
        <v>0.11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23" t="s">
        <v>17</v>
      </c>
      <c r="C14" s="23"/>
      <c r="D14" s="24">
        <v>0.2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F3"/>
    <mergeCell ref="B10:D10"/>
    <mergeCell ref="B12:D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11.38"/>
    <col customWidth="1" min="3" max="3" width="22.0"/>
    <col customWidth="1" min="4" max="4" width="18.88"/>
    <col customWidth="1" min="5" max="5" width="18.5"/>
    <col customWidth="1" min="6" max="6" width="20.88"/>
    <col customWidth="1" min="7" max="26" width="8.63"/>
  </cols>
  <sheetData>
    <row r="1" ht="24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4.75" customHeight="1">
      <c r="A2" s="25"/>
      <c r="B2" s="2" t="s">
        <v>23</v>
      </c>
      <c r="C2" s="3"/>
      <c r="D2" s="3"/>
      <c r="E2" s="4"/>
      <c r="F2" s="26" t="s">
        <v>2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4.75" customHeight="1">
      <c r="A3" s="25"/>
      <c r="B3" s="7"/>
      <c r="C3" s="8"/>
      <c r="D3" s="8"/>
      <c r="E3" s="9"/>
      <c r="F3" s="27">
        <v>2018.0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36.0" customHeight="1">
      <c r="A4" s="25"/>
      <c r="B4" s="28" t="s">
        <v>1</v>
      </c>
      <c r="C4" s="29" t="s">
        <v>24</v>
      </c>
      <c r="D4" s="30" t="s">
        <v>25</v>
      </c>
      <c r="E4" s="30" t="s">
        <v>26</v>
      </c>
      <c r="F4" s="29" t="s">
        <v>27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4.75" customHeight="1">
      <c r="A5" s="25"/>
      <c r="B5" s="31" t="s">
        <v>28</v>
      </c>
      <c r="C5" s="32"/>
      <c r="D5" s="32"/>
      <c r="E5" s="32"/>
      <c r="F5" s="3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4.75" customHeight="1">
      <c r="A6" s="25"/>
      <c r="B6" s="31" t="s">
        <v>3</v>
      </c>
      <c r="C6" s="32" t="str">
        <f>'RPA-Set2018'!E10</f>
        <v/>
      </c>
      <c r="D6" s="32" t="str">
        <f>'RPA-Set2018'!F10</f>
        <v/>
      </c>
      <c r="E6" s="32" t="str">
        <f>'RPA-Set2018'!G10</f>
        <v/>
      </c>
      <c r="F6" s="32" t="str">
        <f>'RPA-Set2018'!H10</f>
        <v/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4.75" customHeight="1">
      <c r="A7" s="25"/>
      <c r="B7" s="31" t="s">
        <v>18</v>
      </c>
      <c r="C7" s="32" t="str">
        <f>'RPA-Out2018'!E10</f>
        <v/>
      </c>
      <c r="D7" s="32" t="str">
        <f>'RPA-Out2018'!F10</f>
        <v/>
      </c>
      <c r="E7" s="32" t="str">
        <f>'RPA-Out2018'!G10</f>
        <v/>
      </c>
      <c r="F7" s="32" t="str">
        <f>'RPA-Out2018'!H10</f>
        <v/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4.75" customHeight="1">
      <c r="A8" s="25"/>
      <c r="B8" s="31" t="s">
        <v>28</v>
      </c>
      <c r="C8" s="32"/>
      <c r="D8" s="32"/>
      <c r="E8" s="32"/>
      <c r="F8" s="3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4.75" customHeight="1">
      <c r="A9" s="25"/>
      <c r="B9" s="28" t="s">
        <v>29</v>
      </c>
      <c r="C9" s="33">
        <f t="shared" ref="C9:F9" si="1">SUM(C5:C8)</f>
        <v>0</v>
      </c>
      <c r="D9" s="33">
        <f t="shared" si="1"/>
        <v>0</v>
      </c>
      <c r="E9" s="33">
        <f t="shared" si="1"/>
        <v>0</v>
      </c>
      <c r="F9" s="33">
        <f t="shared" si="1"/>
        <v>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4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4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4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4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4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4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4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4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4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4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4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4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4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4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4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4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4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4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4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4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4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4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4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4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4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4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4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4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4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4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4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4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4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4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4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4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4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4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4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4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4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4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4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4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4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4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4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4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4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4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4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4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4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4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4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4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4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4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4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4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4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4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4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4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4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4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4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4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4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4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4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4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4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4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4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4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4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4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4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4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4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4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4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4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4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4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4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4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4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4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4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4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4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4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4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4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4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4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4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4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4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4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4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4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4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4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4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4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4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4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4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4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4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4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4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4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4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4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4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4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4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4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4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4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4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4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4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4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4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4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4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4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4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4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4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4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4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4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4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4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4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4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4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4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4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4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4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4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4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4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4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4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4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4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4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4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4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4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4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4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4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4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4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4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4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4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4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4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4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4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4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4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4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4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4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4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4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4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4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4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4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4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4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4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4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4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4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4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4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4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4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4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4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4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4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4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4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4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4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4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4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4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4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4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4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4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4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4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4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4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4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4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4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4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4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4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4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4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4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4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4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4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4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4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4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4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4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4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4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4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4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4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4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4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4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4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4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4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4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4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4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4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4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4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4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4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4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4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4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4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4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4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4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4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4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4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4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4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4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4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4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4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4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4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4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4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4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4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4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4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4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4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4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4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4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4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4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4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4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4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4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4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4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4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4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4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4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4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4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4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4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4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4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4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4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4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4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4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4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4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4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4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4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4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4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4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4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4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4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4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4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4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4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4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4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4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4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4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4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4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4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4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4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4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4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4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4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4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4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4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4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4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4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4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4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4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4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4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4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4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4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4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4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4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4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4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4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4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4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4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4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4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4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4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4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4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4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4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4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4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4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4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4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4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4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4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4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4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4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4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4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4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4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4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4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4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4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4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4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4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4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4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4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4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4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4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4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4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4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4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4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4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4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4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4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4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4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4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4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4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4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4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4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4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4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4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4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4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4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4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4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4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4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4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4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4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4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4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4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4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4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4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4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4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4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4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4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4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4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4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4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4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4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4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4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4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4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4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4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4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4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4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4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4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4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4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4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4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4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4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4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4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4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4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4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4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4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4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4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4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4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4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4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4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4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4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4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4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4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4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4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4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4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4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4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4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4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4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4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4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4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4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4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4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4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4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4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4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4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4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4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4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4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4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4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4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4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4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4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4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4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4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4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4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4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4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4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4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4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4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4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4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4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4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4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4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4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4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4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4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4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4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4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4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4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4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4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4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4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4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4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4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4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4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4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4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4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4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4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4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4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4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4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4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4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4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4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4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4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4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4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4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4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4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4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4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4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4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4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4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4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4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4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4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4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4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4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4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4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4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4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4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4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4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4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4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4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4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4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4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4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4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4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4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4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4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4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4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4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4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4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4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4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4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4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4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4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4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4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4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4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4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4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4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4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4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4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4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4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4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4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4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4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4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4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4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4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4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4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4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4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4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4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4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4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4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4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4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4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4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4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4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4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4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4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4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4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4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4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4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4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4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4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4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4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4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4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4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4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4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4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4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4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4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4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4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4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4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4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4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4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4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4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4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4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4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4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4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4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4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4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4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4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4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4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4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4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4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4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4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4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4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4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4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4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4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4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4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4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4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4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4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4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4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4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4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4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4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4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4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4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4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4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4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4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4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4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4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4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4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4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4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4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4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4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4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4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4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4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4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4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4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4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4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4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4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4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4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4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4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4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4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4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4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4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4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4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4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4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4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4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4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4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4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4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4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4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4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4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4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4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4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4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4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4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4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4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4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4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4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4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4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4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4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4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4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4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4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4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4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4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4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4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4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4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4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4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4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4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4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4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4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4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4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4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4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4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4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4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4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4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4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4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4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4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4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4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4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4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4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4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4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4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4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4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4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4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4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4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4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4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4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4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4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4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4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4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4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4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4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4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4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4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4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4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4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4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4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4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4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4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4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4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4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4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4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4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4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4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4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4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4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4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4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4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4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4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4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4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4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4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4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4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4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4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4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4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4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4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4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4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4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4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4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4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4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4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4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4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4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4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4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4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4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4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4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4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4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4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4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4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4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4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4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4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4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4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4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4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4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4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4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4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4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4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4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4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4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4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4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4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4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4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4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4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4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4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4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4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4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4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4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4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4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4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4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4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4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4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4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4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4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4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4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4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4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4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4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4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4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4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4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4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4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4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4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4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4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4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4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4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4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4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4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4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4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4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4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4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4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4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4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4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4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4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4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4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4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4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4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4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4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4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4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4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4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4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B2:E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2024-07-17T15:32:36Z</dcterms:created>
</cp:coreProperties>
</file>